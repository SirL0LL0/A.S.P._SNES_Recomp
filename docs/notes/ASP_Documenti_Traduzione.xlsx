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a ROM" sheetId="1" state="visible" r:id="rId1"/>
    <sheet xmlns:r="http://schemas.openxmlformats.org/officeDocument/2006/relationships" name="Algoritmo LZ" sheetId="2" state="visible" r:id="rId2"/>
    <sheet xmlns:r="http://schemas.openxmlformats.org/officeDocument/2006/relationships" name="Testo compresso" sheetId="3" state="visible" r:id="rId3"/>
    <sheet xmlns:r="http://schemas.openxmlformats.org/officeDocument/2006/relationships" name="Problemi aperti"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sz val="14"/>
    </font>
    <font>
      <name val="Calibri"/>
      <b val="1"/>
      <color rgb="00FFFFFF"/>
      <sz val="10"/>
    </font>
    <font>
      <name val="Courier New"/>
      <sz val="9"/>
    </font>
    <font>
      <name val="Calibri"/>
      <b val="1"/>
      <sz val="13"/>
    </font>
    <font>
      <name val="Calibri"/>
      <sz val="10"/>
    </font>
    <font>
      <name val="Calibri"/>
      <b val="1"/>
      <sz val="10"/>
    </font>
    <font>
      <b val="1"/>
      <sz val="13"/>
    </font>
    <font>
      <name val="Calibri"/>
      <b val="1"/>
      <sz val="9"/>
    </font>
    <font>
      <name val="Calibri"/>
      <b val="1"/>
    </font>
  </fonts>
  <fills count="11">
    <fill>
      <patternFill/>
    </fill>
    <fill>
      <patternFill patternType="gray125"/>
    </fill>
    <fill>
      <patternFill patternType="solid">
        <fgColor rgb="002E4057"/>
      </patternFill>
    </fill>
    <fill>
      <patternFill patternType="solid">
        <fgColor rgb="00E3F2FD"/>
      </patternFill>
    </fill>
    <fill>
      <patternFill patternType="solid">
        <fgColor rgb="00F3E5F5"/>
      </patternFill>
    </fill>
    <fill>
      <patternFill patternType="solid">
        <fgColor rgb="00FFF9C4"/>
      </patternFill>
    </fill>
    <fill>
      <patternFill patternType="solid">
        <fgColor rgb="00C8E6C9"/>
      </patternFill>
    </fill>
    <fill>
      <patternFill patternType="solid">
        <fgColor rgb="00FFF3E0"/>
      </patternFill>
    </fill>
    <fill>
      <patternFill patternType="solid">
        <fgColor rgb="00FFCDD2"/>
      </patternFill>
    </fill>
    <fill>
      <patternFill patternType="solid">
        <fgColor rgb="00FFE0B2"/>
      </patternFill>
    </fill>
    <fill>
      <patternFill patternType="solid">
        <fgColor rgb="00E8F5E9"/>
      </patternFill>
    </fill>
  </fills>
  <borders count="1">
    <border>
      <left/>
      <right/>
      <top/>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2" fillId="2" borderId="0" applyAlignment="1" pivotButton="0" quotePrefix="0" xfId="0">
      <alignment horizontal="center" wrapText="1"/>
    </xf>
    <xf numFmtId="0" fontId="3" fillId="3" borderId="0" pivotButton="0" quotePrefix="0" xfId="0"/>
    <xf numFmtId="3" fontId="0" fillId="3" borderId="0" pivotButton="0" quotePrefix="0" xfId="0"/>
    <xf numFmtId="0" fontId="0" fillId="3" borderId="0" pivotButton="0" quotePrefix="0" xfId="0"/>
    <xf numFmtId="0" fontId="0" fillId="3" borderId="0" applyAlignment="1" pivotButton="0" quotePrefix="0" xfId="0">
      <alignment wrapText="1"/>
    </xf>
    <xf numFmtId="0" fontId="3" fillId="4" borderId="0" pivotButton="0" quotePrefix="0" xfId="0"/>
    <xf numFmtId="3" fontId="0" fillId="4" borderId="0" pivotButton="0" quotePrefix="0" xfId="0"/>
    <xf numFmtId="0" fontId="0" fillId="4" borderId="0" pivotButton="0" quotePrefix="0" xfId="0"/>
    <xf numFmtId="0" fontId="0" fillId="4" borderId="0" applyAlignment="1" pivotButton="0" quotePrefix="0" xfId="0">
      <alignment wrapText="1"/>
    </xf>
    <xf numFmtId="0" fontId="3" fillId="5" borderId="0" pivotButton="0" quotePrefix="0" xfId="0"/>
    <xf numFmtId="3" fontId="0" fillId="5" borderId="0" pivotButton="0" quotePrefix="0" xfId="0"/>
    <xf numFmtId="0" fontId="0" fillId="5" borderId="0" pivotButton="0" quotePrefix="0" xfId="0"/>
    <xf numFmtId="0" fontId="0" fillId="5" borderId="0" applyAlignment="1" pivotButton="0" quotePrefix="0" xfId="0">
      <alignment wrapText="1"/>
    </xf>
    <xf numFmtId="0" fontId="3" fillId="6" borderId="0" pivotButton="0" quotePrefix="0" xfId="0"/>
    <xf numFmtId="3" fontId="0" fillId="6" borderId="0" pivotButton="0" quotePrefix="0" xfId="0"/>
    <xf numFmtId="0" fontId="0" fillId="6" borderId="0" pivotButton="0" quotePrefix="0" xfId="0"/>
    <xf numFmtId="0" fontId="0" fillId="6" borderId="0" applyAlignment="1" pivotButton="0" quotePrefix="0" xfId="0">
      <alignment wrapText="1"/>
    </xf>
    <xf numFmtId="0" fontId="3" fillId="7" borderId="0" pivotButton="0" quotePrefix="0" xfId="0"/>
    <xf numFmtId="3" fontId="0" fillId="7" borderId="0" pivotButton="0" quotePrefix="0" xfId="0"/>
    <xf numFmtId="0" fontId="0" fillId="7" borderId="0" pivotButton="0" quotePrefix="0" xfId="0"/>
    <xf numFmtId="0" fontId="0" fillId="7" borderId="0" applyAlignment="1" pivotButton="0" quotePrefix="0" xfId="0">
      <alignment wrapText="1"/>
    </xf>
    <xf numFmtId="0" fontId="4" fillId="0" borderId="0" pivotButton="0" quotePrefix="0" xfId="0"/>
    <xf numFmtId="0" fontId="5" fillId="0" borderId="0" pivotButton="0" quotePrefix="0" xfId="0"/>
    <xf numFmtId="0" fontId="5" fillId="0" borderId="0" applyAlignment="1" pivotButton="0" quotePrefix="0" xfId="0">
      <alignment wrapText="1"/>
    </xf>
    <xf numFmtId="0" fontId="6" fillId="0" borderId="0" pivotButton="0" quotePrefix="0" xfId="0"/>
    <xf numFmtId="0" fontId="7" fillId="0" borderId="0" pivotButton="0" quotePrefix="0" xfId="0"/>
    <xf numFmtId="0" fontId="2" fillId="2" borderId="0" applyAlignment="1" pivotButton="0" quotePrefix="0" xfId="0">
      <alignment horizontal="center"/>
    </xf>
    <xf numFmtId="0" fontId="8" fillId="0" borderId="0" pivotButton="0" quotePrefix="0" xfId="0"/>
    <xf numFmtId="0" fontId="0" fillId="0" borderId="0" applyAlignment="1" pivotButton="0" quotePrefix="0" xfId="0">
      <alignment wrapText="1"/>
    </xf>
    <xf numFmtId="0" fontId="2" fillId="2" borderId="0" pivotButton="0" quotePrefix="0" xfId="0"/>
    <xf numFmtId="0" fontId="9" fillId="8" borderId="0" pivotButton="0" quotePrefix="0" xfId="0"/>
    <xf numFmtId="0" fontId="9" fillId="0" borderId="0" pivotButton="0" quotePrefix="0" xfId="0"/>
    <xf numFmtId="0" fontId="9" fillId="9" borderId="0" pivotButton="0" quotePrefix="0" xfId="0"/>
    <xf numFmtId="0" fontId="9" fillId="5"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3" customWidth="1" min="1" max="1"/>
    <col width="13" customWidth="1" min="2" max="2"/>
    <col width="16" customWidth="1" min="3" max="3"/>
    <col width="12" customWidth="1" min="4" max="4"/>
    <col width="20" customWidth="1" min="5" max="5"/>
    <col width="60" customWidth="1" min="6" max="6"/>
    <col width="22" customWidth="1" min="7" max="7"/>
    <col width="70" customWidth="1" min="8" max="8"/>
  </cols>
  <sheetData>
    <row r="1" ht="30" customHeight="1">
      <c r="A1" s="1" t="inlineStr">
        <is>
          <t>MAPPA ROM — A.S.P. Air Strike Patrol (USA) SNES</t>
        </is>
      </c>
    </row>
    <row r="3">
      <c r="A3" s="2" t="inlineStr">
        <is>
          <t>Offset Inizio</t>
        </is>
      </c>
      <c r="B3" s="2" t="inlineStr">
        <is>
          <t>Offset Fine</t>
        </is>
      </c>
      <c r="C3" s="2" t="inlineStr">
        <is>
          <t>Dimensione (byte)</t>
        </is>
      </c>
      <c r="D3" s="2" t="inlineStr">
        <is>
          <t>Dimensione (KB)</t>
        </is>
      </c>
      <c r="E3" s="2" t="inlineStr">
        <is>
          <t>Tipo</t>
        </is>
      </c>
      <c r="F3" s="2" t="inlineStr">
        <is>
          <t>Descrizione</t>
        </is>
      </c>
      <c r="G3" s="2" t="inlineStr">
        <is>
          <t>Stato traduzione</t>
        </is>
      </c>
      <c r="H3" s="2" t="inlineStr">
        <is>
          <t>Note</t>
        </is>
      </c>
    </row>
    <row r="4" ht="50" customHeight="1">
      <c r="A4" s="3" t="inlineStr">
        <is>
          <t>0x000000</t>
        </is>
      </c>
      <c r="B4" s="3" t="inlineStr">
        <is>
          <t>0x008000</t>
        </is>
      </c>
      <c r="C4" s="4" t="n">
        <v>32768</v>
      </c>
      <c r="D4" s="5" t="n">
        <v>32</v>
      </c>
      <c r="E4" s="5" t="inlineStr">
        <is>
          <t>CODICE 65816</t>
        </is>
      </c>
      <c r="F4" s="6" t="inlineStr">
        <is>
          <t>Banco 00 — Boot, interrupt, loop principale, routine di base</t>
        </is>
      </c>
      <c r="G4" s="5" t="inlineStr">
        <is>
          <t>N/A (codice)</t>
        </is>
      </c>
      <c r="H4" s="6" t="inlineStr"/>
    </row>
    <row r="5" ht="50" customHeight="1">
      <c r="A5" s="3" t="inlineStr">
        <is>
          <t>0x008000</t>
        </is>
      </c>
      <c r="B5" s="3" t="inlineStr">
        <is>
          <t>0x010000</t>
        </is>
      </c>
      <c r="C5" s="4" t="n">
        <v>32768</v>
      </c>
      <c r="D5" s="5" t="n">
        <v>32</v>
      </c>
      <c r="E5" s="5" t="inlineStr">
        <is>
          <t>CODICE 65816</t>
        </is>
      </c>
      <c r="F5" s="6" t="inlineStr">
        <is>
          <t>Banco 01 — Menu, selezione aereo, punteggi, HUD</t>
        </is>
      </c>
      <c r="G5" s="5" t="inlineStr">
        <is>
          <t>N/A (codice)</t>
        </is>
      </c>
      <c r="H5" s="6" t="inlineStr"/>
    </row>
    <row r="6" ht="50" customHeight="1">
      <c r="A6" s="3" t="inlineStr">
        <is>
          <t>0x010000</t>
        </is>
      </c>
      <c r="B6" s="3" t="inlineStr">
        <is>
          <t>0x018000</t>
        </is>
      </c>
      <c r="C6" s="4" t="n">
        <v>32768</v>
      </c>
      <c r="D6" s="5" t="n">
        <v>32</v>
      </c>
      <c r="E6" s="5" t="inlineStr">
        <is>
          <t>CODICE + DATI</t>
        </is>
      </c>
      <c r="F6" s="6" t="inlineStr">
        <is>
          <t>Banco 02 — Codice AI, tabelle; menu debug a 0x011EBD, opzioni a 0x0122F5</t>
        </is>
      </c>
      <c r="G6" s="5" t="inlineStr">
        <is>
          <t>N/A (codice)</t>
        </is>
      </c>
      <c r="H6" s="6" t="inlineStr"/>
    </row>
    <row r="7" ht="50" customHeight="1">
      <c r="A7" s="7" t="inlineStr">
        <is>
          <t>0x018000</t>
        </is>
      </c>
      <c r="B7" s="7" t="inlineStr">
        <is>
          <t>0x020000</t>
        </is>
      </c>
      <c r="C7" s="8" t="n">
        <v>32768</v>
      </c>
      <c r="D7" s="9" t="n">
        <v>32</v>
      </c>
      <c r="E7" s="9" t="inlineStr">
        <is>
          <t>DATI / GRAFICA</t>
        </is>
      </c>
      <c r="F7" s="10" t="inlineStr">
        <is>
          <t>Banco 03 — Grafica, tilemap, palette</t>
        </is>
      </c>
      <c r="G7" s="9" t="inlineStr">
        <is>
          <t>N/A (grafica)</t>
        </is>
      </c>
      <c r="H7" s="10" t="inlineStr"/>
    </row>
    <row r="8" ht="50" customHeight="1">
      <c r="A8" s="7" t="inlineStr">
        <is>
          <t>0x020000</t>
        </is>
      </c>
      <c r="B8" s="7" t="inlineStr">
        <is>
          <t>0x028000</t>
        </is>
      </c>
      <c r="C8" s="8" t="n">
        <v>32768</v>
      </c>
      <c r="D8" s="9" t="n">
        <v>32</v>
      </c>
      <c r="E8" s="9" t="inlineStr">
        <is>
          <t>DATI / GRAFICA</t>
        </is>
      </c>
      <c r="F8" s="10" t="inlineStr">
        <is>
          <t>Banco 04 — Grafica compressa, mappe di gioco</t>
        </is>
      </c>
      <c r="G8" s="9" t="inlineStr">
        <is>
          <t>N/A (grafica)</t>
        </is>
      </c>
      <c r="H8" s="10" t="inlineStr"/>
    </row>
    <row r="9" ht="50" customHeight="1">
      <c r="A9" s="11" t="inlineStr">
        <is>
          <t>0x028000</t>
        </is>
      </c>
      <c r="B9" s="11" t="inlineStr">
        <is>
          <t>0x028247</t>
        </is>
      </c>
      <c r="C9" s="12" t="n">
        <v>583</v>
      </c>
      <c r="D9" s="13" t="n">
        <v>0</v>
      </c>
      <c r="E9" s="13" t="inlineStr">
        <is>
          <t>DATI</t>
        </is>
      </c>
      <c r="F9" s="14" t="inlineStr">
        <is>
          <t>Transizione — dati di struttura pre-testo</t>
        </is>
      </c>
      <c r="G9" s="13" t="inlineStr">
        <is>
          <t>N/A</t>
        </is>
      </c>
      <c r="H9" s="14" t="inlineStr"/>
    </row>
    <row r="10" ht="50" customHeight="1">
      <c r="A10" s="15" t="inlineStr">
        <is>
          <t>0x028247</t>
        </is>
      </c>
      <c r="B10" s="15" t="inlineStr">
        <is>
          <t>0x02A700</t>
        </is>
      </c>
      <c r="C10" s="16" t="n">
        <v>9401</v>
      </c>
      <c r="D10" s="17" t="n">
        <v>9</v>
      </c>
      <c r="E10" s="17" t="inlineStr">
        <is>
          <t>TESTO ASCII</t>
        </is>
      </c>
      <c r="F10" s="18" t="inlineStr">
        <is>
          <t>337 stringhe terminate 0x00 — dialoghi, menu, armi, bersagli, finali missione</t>
        </is>
      </c>
      <c r="G10" s="17" t="inlineStr">
        <is>
          <t>TRADOTTO ✓</t>
        </is>
      </c>
      <c r="H10" s="18" t="inlineStr">
        <is>
          <t>Patch v2 applicata. Parser: ASCII+0x00. Codici di controllo: 0x13=a-capo, 0x1D+2=posizione cursore</t>
        </is>
      </c>
    </row>
    <row r="11" ht="50" customHeight="1">
      <c r="A11" s="19" t="inlineStr">
        <is>
          <t>0x02A700</t>
        </is>
      </c>
      <c r="B11" s="19" t="inlineStr">
        <is>
          <t>0x02E379</t>
        </is>
      </c>
      <c r="C11" s="20" t="n">
        <v>15481</v>
      </c>
      <c r="D11" s="21" t="n">
        <v>15</v>
      </c>
      <c r="E11" s="21" t="inlineStr">
        <is>
          <t>TESTO COMPRESSO LZ</t>
        </is>
      </c>
      <c r="F11" s="22" t="inlineStr">
        <is>
          <t>Briefing 8 missioni, intel bersagli, messaggi radio, messaggi incoraggiamento. Decompressore LZ custom scoperto tramite debugger Mesen.</t>
        </is>
      </c>
      <c r="G11" s="21" t="inlineStr">
        <is>
          <t>BOZZA (crash da correggere)</t>
        </is>
      </c>
      <c r="H11" s="22" t="inlineStr">
        <is>
          <t>Algoritmo: flag byte (1=letterale, 0=riferimento), ref 2 byte: lunghezza=(b2&gt;&gt;4)+3, distanza=0x1000-(b1|((b2&amp;0xF)&lt;&lt;8)). Buffer condiviso, parte da 0x2A700.</t>
        </is>
      </c>
    </row>
    <row r="12" ht="50" customHeight="1">
      <c r="A12" s="3" t="inlineStr">
        <is>
          <t>0x02E379</t>
        </is>
      </c>
      <c r="B12" s="3" t="inlineStr">
        <is>
          <t>0x058000</t>
        </is>
      </c>
      <c r="C12" s="4" t="n">
        <v>171143</v>
      </c>
      <c r="D12" s="5" t="n">
        <v>167</v>
      </c>
      <c r="E12" s="5" t="inlineStr">
        <is>
          <t>CODICE + DATI</t>
        </is>
      </c>
      <c r="F12" s="6" t="inlineStr">
        <is>
          <t>Banchi 05-0A — Codice gioco (AI, fisica, collisioni, rendering), dati livelli</t>
        </is>
      </c>
      <c r="G12" s="5" t="inlineStr">
        <is>
          <t>N/A (codice)</t>
        </is>
      </c>
      <c r="H12" s="6" t="inlineStr">
        <is>
          <t>Banco $83 contiene routine testo a $838296; banco $85 contiene typewriter a $85E21C</t>
        </is>
      </c>
    </row>
    <row r="13" ht="50" customHeight="1">
      <c r="A13" s="7" t="inlineStr">
        <is>
          <t>0x058000</t>
        </is>
      </c>
      <c r="B13" s="7" t="inlineStr">
        <is>
          <t>0x0C0000</t>
        </is>
      </c>
      <c r="C13" s="8" t="n">
        <v>425984</v>
      </c>
      <c r="D13" s="9" t="n">
        <v>416</v>
      </c>
      <c r="E13" s="9" t="inlineStr">
        <is>
          <t>GRAFICA RLE</t>
        </is>
      </c>
      <c r="F13" s="10" t="inlineStr">
        <is>
          <t>Banchi 0B-17 — Grafica compressa (tileset terreno, sprite, edifici, esplosioni, font grafico)</t>
        </is>
      </c>
      <c r="G13" s="9" t="inlineStr">
        <is>
          <t>N/A — grafica</t>
        </is>
      </c>
      <c r="H13" s="10" t="inlineStr">
        <is>
          <t>Font grafico include: SETA PRESENTS, WARNING, FULL, EMPTY, SPEED UP/DOWN, AFTER BURNER, FLARE, GUN, GAME START — richiedono editing tile (YY-CHR o simile)</t>
        </is>
      </c>
    </row>
    <row r="14" ht="50" customHeight="1">
      <c r="A14" s="11" t="inlineStr">
        <is>
          <t>0x0C0000</t>
        </is>
      </c>
      <c r="B14" s="11" t="inlineStr">
        <is>
          <t>0x0CFA00</t>
        </is>
      </c>
      <c r="C14" s="12" t="n">
        <v>64000</v>
      </c>
      <c r="D14" s="13" t="n">
        <v>62</v>
      </c>
      <c r="E14" s="13" t="inlineStr">
        <is>
          <t>DATI/SCRIPT MISTO</t>
        </is>
      </c>
      <c r="F14" s="14" t="inlineStr">
        <is>
          <t>Banchi 17/18 — Zona TEXT_MIXED con byte di controllo — possibili script aggiuntivi o dati di configurazione livello</t>
        </is>
      </c>
      <c r="G14" s="13" t="inlineStr">
        <is>
          <t>DA INVESTIGARE</t>
        </is>
      </c>
      <c r="H14" s="14" t="inlineStr">
        <is>
          <t>Campione non leggibile direttamente: formato sconosciuto, non risponde alla decompressione LZ nota</t>
        </is>
      </c>
    </row>
    <row r="15" ht="50" customHeight="1">
      <c r="A15" s="11" t="inlineStr">
        <is>
          <t>0x0CFA00</t>
        </is>
      </c>
      <c r="B15" s="11" t="inlineStr">
        <is>
          <t>0x0E9800</t>
        </is>
      </c>
      <c r="C15" s="12" t="n">
        <v>105984</v>
      </c>
      <c r="D15" s="13" t="n">
        <v>103</v>
      </c>
      <c r="E15" s="13" t="inlineStr">
        <is>
          <t>SCRIPT/TESTO MISTO</t>
        </is>
      </c>
      <c r="F15" s="14" t="inlineStr">
        <is>
          <t>87 KB continui TEXT_MIXED — ZONA GRANDE non ancora identificata. Possibili dialoghi extra, script cinematiche, stringhe accessorie.</t>
        </is>
      </c>
      <c r="G15" s="13" t="inlineStr">
        <is>
          <t>DA INVESTIGARE (priorità alta)</t>
        </is>
      </c>
      <c r="H15" s="14" t="inlineStr">
        <is>
          <t>Zona più grande di testo non identificato. Da analizzare con debugger: impostare breakpoint lettura in questo range e verificare quando/se viene acceduta durante il gioco</t>
        </is>
      </c>
    </row>
    <row r="16" ht="50" customHeight="1">
      <c r="A16" s="3" t="inlineStr">
        <is>
          <t>0x0E9800</t>
        </is>
      </c>
      <c r="B16" s="3" t="inlineStr">
        <is>
          <t>0x0F0000</t>
        </is>
      </c>
      <c r="C16" s="4" t="n">
        <v>26624</v>
      </c>
      <c r="D16" s="5" t="n">
        <v>26</v>
      </c>
      <c r="E16" s="5" t="inlineStr">
        <is>
          <t>CODICE</t>
        </is>
      </c>
      <c r="F16" s="6" t="inlineStr">
        <is>
          <t>Banchi 1C-1D — Codice (rendering finale, gestione VRAM, DMA)</t>
        </is>
      </c>
      <c r="G16" s="5" t="inlineStr">
        <is>
          <t>N/A (codice)</t>
        </is>
      </c>
      <c r="H16" s="6" t="inlineStr"/>
    </row>
    <row r="17" ht="50" customHeight="1">
      <c r="A17" s="11" t="inlineStr">
        <is>
          <t>0x0F0000</t>
        </is>
      </c>
      <c r="B17" s="11" t="inlineStr">
        <is>
          <t>0x0F8000</t>
        </is>
      </c>
      <c r="C17" s="12" t="n">
        <v>32768</v>
      </c>
      <c r="D17" s="13" t="n">
        <v>32</v>
      </c>
      <c r="E17" s="13" t="inlineStr">
        <is>
          <t>TESTO MISTO</t>
        </is>
      </c>
      <c r="F17" s="14" t="inlineStr">
        <is>
          <t>8 KB TEXT_MIXED a 0x0F0000 — possibili stringhe font/interfaccia</t>
        </is>
      </c>
      <c r="G17" s="13" t="inlineStr">
        <is>
          <t>DA INVESTIGARE</t>
        </is>
      </c>
      <c r="H17" s="14" t="inlineStr"/>
    </row>
    <row r="18" ht="50" customHeight="1">
      <c r="A18" s="11" t="inlineStr">
        <is>
          <t>0x0F8000</t>
        </is>
      </c>
      <c r="B18" s="11" t="inlineStr">
        <is>
          <t>0x100000</t>
        </is>
      </c>
      <c r="C18" s="12" t="n">
        <v>32768</v>
      </c>
      <c r="D18" s="13" t="n">
        <v>32</v>
      </c>
      <c r="E18" s="13" t="inlineStr">
        <is>
          <t>DATI MISTI</t>
        </is>
      </c>
      <c r="F18" s="14" t="inlineStr">
        <is>
          <t>Banco 1F — Dati configurazione, checksum SNES a 0x0FFFC0</t>
        </is>
      </c>
      <c r="G18" s="13" t="inlineStr">
        <is>
          <t>N/A</t>
        </is>
      </c>
      <c r="H18" s="14" t="inlineStr"/>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0" customWidth="1" min="1" max="1"/>
    <col width="90" customWidth="1" min="2" max="2"/>
  </cols>
  <sheetData>
    <row r="1">
      <c r="A1" s="23" t="inlineStr">
        <is>
          <t>ALGORITMO DI COMPRESSIONE LZ — ZONA 0x02A700-0x02E379</t>
        </is>
      </c>
    </row>
    <row r="3" ht="18" customHeight="1">
      <c r="A3" s="24" t="inlineStr"/>
      <c r="B3" s="25" t="inlineStr"/>
    </row>
    <row r="4" ht="18" customHeight="1">
      <c r="A4" s="26" t="inlineStr">
        <is>
          <t>TIPO</t>
        </is>
      </c>
      <c r="B4" s="25" t="inlineStr">
        <is>
          <t>LZ77-like custom (scoperto tramite reverse engineering con Mesen-S debugger)</t>
        </is>
      </c>
    </row>
    <row r="5" ht="18" customHeight="1">
      <c r="A5" s="26" t="inlineStr">
        <is>
          <t>INTERVALLO ROM</t>
        </is>
      </c>
      <c r="B5" s="25" t="inlineStr">
        <is>
          <t>0x02A700 – 0x02E379 (15.481 byte compressi)</t>
        </is>
      </c>
    </row>
    <row r="6" ht="18" customHeight="1">
      <c r="A6" s="26" t="inlineStr">
        <is>
          <t>OUTPUT DECOMPRESSO</t>
        </is>
      </c>
      <c r="B6" s="25" t="inlineStr">
        <is>
          <t>Circa 42.000+ caratteri di testo</t>
        </is>
      </c>
    </row>
    <row r="7" ht="18" customHeight="1">
      <c r="A7" s="26" t="inlineStr">
        <is>
          <t>RAPPORTO COMPRESSIONE</t>
        </is>
      </c>
      <c r="B7" s="25" t="inlineStr">
        <is>
          <t>~2.7x (originale). Nostro compressore: ~2.0x</t>
        </is>
      </c>
    </row>
    <row r="8" ht="18" customHeight="1">
      <c r="A8" s="24" t="inlineStr"/>
      <c r="B8" s="25" t="inlineStr"/>
    </row>
    <row r="9" ht="18" customHeight="1">
      <c r="A9" s="26" t="inlineStr">
        <is>
          <t>STRUTTURA FLAG BYTE</t>
        </is>
      </c>
      <c r="B9" s="25" t="inlineStr">
        <is>
          <t>1 byte di flag = 8 token. Bit 0 = primo token, bit 7 = ultimo.</t>
        </is>
      </c>
    </row>
    <row r="10" ht="18" customHeight="1">
      <c r="A10" s="24" t="inlineStr">
        <is>
          <t xml:space="preserve">  Bit=1 (letterale)</t>
        </is>
      </c>
      <c r="B10" s="25" t="inlineStr">
        <is>
          <t>1 byte successivo copiato direttamente nell'output</t>
        </is>
      </c>
    </row>
    <row r="11" ht="18" customHeight="1">
      <c r="A11" s="24" t="inlineStr">
        <is>
          <t xml:space="preserve">  Bit=0 (riferimento)</t>
        </is>
      </c>
      <c r="B11" s="25" t="inlineStr">
        <is>
          <t>2 byte successivi b1, b2 che codificano una copia:</t>
        </is>
      </c>
    </row>
    <row r="12" ht="18" customHeight="1">
      <c r="A12" s="24" t="inlineStr">
        <is>
          <t xml:space="preserve">    lunghezza</t>
        </is>
      </c>
      <c r="B12" s="25">
        <f> (b2 &gt;&gt; 4) + 3   (range: 3-18 caratteri)</f>
        <v/>
      </c>
    </row>
    <row r="13" ht="18" customHeight="1">
      <c r="A13" s="24" t="inlineStr">
        <is>
          <t xml:space="preserve">    magnitudine</t>
        </is>
      </c>
      <c r="B13" s="25">
        <f> b1 | ((b2 &amp; 0x0F) &lt;&lt; 8)   (range: 0-4095)</f>
        <v/>
      </c>
    </row>
    <row r="14" ht="18" customHeight="1">
      <c r="A14" s="24" t="inlineStr">
        <is>
          <t xml:space="preserve">    distanza</t>
        </is>
      </c>
      <c r="B14" s="25">
        <f> 0x1000 - magnitudine   (range: 1-4096 indietro nel buffer)</f>
        <v/>
      </c>
    </row>
    <row r="15" ht="18" customHeight="1">
      <c r="A15" s="24" t="inlineStr">
        <is>
          <t xml:space="preserve">    posizione sorgente</t>
        </is>
      </c>
      <c r="B15" s="25">
        <f> len(output) - distanza</f>
        <v/>
      </c>
    </row>
    <row r="16" ht="18" customHeight="1">
      <c r="A16" s="24" t="inlineStr"/>
      <c r="B16" s="25" t="inlineStr"/>
    </row>
    <row r="17" ht="18" customHeight="1">
      <c r="A17" s="26" t="inlineStr">
        <is>
          <t>BUFFER INIZIALE</t>
        </is>
      </c>
      <c r="B17" s="25" t="inlineStr">
        <is>
          <t>Vuoto (bytearray() — nessun preload)</t>
        </is>
      </c>
    </row>
    <row r="18" ht="18" customHeight="1">
      <c r="A18" s="26" t="inlineStr">
        <is>
          <t>BUFFER CONDIVISO</t>
        </is>
      </c>
      <c r="B18" s="25" t="inlineStr">
        <is>
          <t>SÌ — tutti i messaggi condividono lo stesso buffer continuo dall'inizio della zona</t>
        </is>
      </c>
    </row>
    <row r="19" ht="18" customHeight="1">
      <c r="A19" s="26" t="inlineStr">
        <is>
          <t>TERMINATORI</t>
        </is>
      </c>
      <c r="B19" s="25" t="inlineStr">
        <is>
          <t>0x13 = interruzione riga / a-capo; 0x00 = fine messaggio</t>
        </is>
      </c>
    </row>
    <row r="20" ht="18" customHeight="1">
      <c r="A20" s="24" t="inlineStr"/>
      <c r="B20" s="25" t="inlineStr"/>
    </row>
    <row r="21" ht="18" customHeight="1">
      <c r="A21" s="26" t="inlineStr">
        <is>
          <t>CONFERMA DEBUGGER</t>
        </is>
      </c>
      <c r="B21" s="25" t="inlineStr">
        <is>
          <t>Routine a $838296 (bank $83): LDA [$0D],Y legge il flusso compresso.</t>
        </is>
      </c>
    </row>
    <row r="22" ht="18" customHeight="1">
      <c r="A22" s="24" t="inlineStr"/>
      <c r="B22" s="25" t="inlineStr">
        <is>
          <t>ADC $10 [$00019C] = $6000 (somma base a indirizzo 16-bit letto)</t>
        </is>
      </c>
    </row>
    <row r="23" ht="18" customHeight="1">
      <c r="A23" s="24" t="inlineStr"/>
      <c r="B23" s="25" t="inlineStr">
        <is>
          <t>Breakpoint $85A700 confermato: il gioco legge esattamente da quel offset</t>
        </is>
      </c>
    </row>
    <row r="24" ht="18" customHeight="1">
      <c r="A24" s="24" t="inlineStr"/>
      <c r="B24" s="25" t="inlineStr"/>
    </row>
    <row r="25" ht="18" customHeight="1">
      <c r="A25" s="26" t="inlineStr">
        <is>
          <t>COMPRESSORE PYTHON</t>
        </is>
      </c>
      <c r="B25" s="25" t="inlineStr">
        <is>
          <t>File: compressor.py — funzione compress(text_bytes) / decompress(src)</t>
        </is>
      </c>
    </row>
    <row r="26" ht="18" customHeight="1">
      <c r="A26" s="24" t="inlineStr">
        <is>
          <t xml:space="preserve">  Round-trip verificato</t>
        </is>
      </c>
      <c r="B26" s="25" t="inlineStr">
        <is>
          <t>SÌ — compress → decompress restituisce testo identico all'input</t>
        </is>
      </c>
    </row>
    <row r="27" ht="18" customHeight="1">
      <c r="A27" s="24" t="inlineStr">
        <is>
          <t xml:space="preserve">  Efficienza vs originale</t>
        </is>
      </c>
      <c r="B27" s="25" t="inlineStr">
        <is>
          <t>Nostro: ~1.98x | Originale: ~2.7x (differenza: originale usa dict più ampio)</t>
        </is>
      </c>
    </row>
    <row r="28" ht="18" customHeight="1">
      <c r="A28" s="24" t="inlineStr"/>
      <c r="B28" s="25" t="inlineStr"/>
    </row>
    <row r="29" ht="18" customHeight="1">
      <c r="A29" s="26" t="inlineStr">
        <is>
          <t>CRASH NOTO (v2)</t>
        </is>
      </c>
      <c r="B29" s="25" t="inlineStr">
        <is>
          <t>Il padding con spazi letterali (0xFF + 0x20 ripetuto) dopo il testo tradotto</t>
        </is>
      </c>
    </row>
    <row r="30" ht="18" customHeight="1">
      <c r="A30" s="24" t="inlineStr"/>
      <c r="B30" s="25" t="inlineStr">
        <is>
          <t>causava un crash/blocco nel gioco durante il caricamento post-menu opzioni.</t>
        </is>
      </c>
    </row>
    <row r="31" ht="18" customHeight="1">
      <c r="A31" s="24" t="inlineStr"/>
      <c r="B31" s="25" t="inlineStr">
        <is>
          <t>Da investigare: il gioco potrebbe usare la lunghezza del flusso come cursore</t>
        </is>
      </c>
    </row>
    <row r="32" ht="18" customHeight="1">
      <c r="A32" s="24" t="inlineStr"/>
      <c r="B32" s="25" t="inlineStr">
        <is>
          <t>oppure il riempimento con spazi corrompeva dati di configurazione livello adiacenti.</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65" customWidth="1" min="3" max="3"/>
    <col width="65" customWidth="1" min="4" max="4"/>
    <col width="35" customWidth="1" min="5" max="5"/>
  </cols>
  <sheetData>
    <row r="1">
      <c r="A1" s="27" t="inlineStr">
        <is>
          <t>TESTO ZONA COMPRESSA — Missioni 1-8 + messaggi bonus</t>
        </is>
      </c>
    </row>
    <row r="3">
      <c r="A3" s="28" t="inlineStr">
        <is>
          <t>ID</t>
        </is>
      </c>
      <c r="B3" s="28" t="inlineStr">
        <is>
          <t>Categoria</t>
        </is>
      </c>
      <c r="C3" s="28" t="inlineStr">
        <is>
          <t>Testo originale (EN)</t>
        </is>
      </c>
      <c r="D3" s="28" t="inlineStr">
        <is>
          <t>Traduzione (IT) — da verificare</t>
        </is>
      </c>
      <c r="E3" s="28" t="inlineStr">
        <is>
          <t>Note/Lunghezza</t>
        </is>
      </c>
    </row>
    <row r="4" ht="60" customHeight="1">
      <c r="A4" s="29" t="inlineStr">
        <is>
          <t>M1-BRIEF</t>
        </is>
      </c>
      <c r="B4" t="inlineStr">
        <is>
          <t>Briefing M1</t>
        </is>
      </c>
      <c r="C4" s="30" t="inlineStr">
        <is>
          <t>YOUR FIRST MISSION IS TO OPEN AN AVENUE OF APPROACH FOR OUR GROUND TROOPS BY DESTROYING ENEMY RADAR SITES. CHECK SATELLITE PHOTOS FOR LOCATIONS. MISSION TARGETS ARE FLASHING.</t>
        </is>
      </c>
      <c r="D4" s="18" t="inlineStr">
        <is>
          <t>LA TUA PRIMA MISSIONE E' APRIRE UNA VIA D'ACCESSO PER LE NOSTRE TRUPPE DI TERRA DISTRUGGENDO I SITI RADAR NEMICI. CONTROLLA LE FOTO SATELLITARI PER LE POSIZIONI. I BERSAGLI MISSIONE STANNO LAMPEGGIANDO.</t>
        </is>
      </c>
      <c r="E4" t="inlineStr">
        <is>
          <t>VERIFICATO via screenshot ✓</t>
        </is>
      </c>
    </row>
    <row r="5" ht="60" customHeight="1">
      <c r="A5" s="29" t="inlineStr">
        <is>
          <t>M1-INTEL</t>
        </is>
      </c>
      <c r="B5" t="inlineStr">
        <is>
          <t>Intel M1</t>
        </is>
      </c>
      <c r="C5" s="30" t="inlineStr">
        <is>
          <t>AS YOU CAN SEE, RADAR BASES ARE LOCATED IN AREAS 1 AND 3. YOU MUST DESTROY 80% TO ENSURE THE SAFETY OF APPROACHING COALITION FORCES. YOU HAVE ONLY 60 HRS.</t>
        </is>
      </c>
      <c r="D5" s="18" t="inlineStr">
        <is>
          <t>COME PUOI VEDERE, LE BASI RADAR SI TROVANO NELLE AREE 1 E 3. DEVI DISTRUGGERNE L'80% PER GARANTIRE LA SICUREZZA DELLE FORZE DELLA COALIZIONE IN AVVICINAMENTO. HAI SOLO 60 ORE.</t>
        </is>
      </c>
      <c r="E5" t="inlineStr">
        <is>
          <t>VERIFICATO via screenshot ✓</t>
        </is>
      </c>
    </row>
    <row r="6" ht="60" customHeight="1">
      <c r="A6" s="29" t="inlineStr">
        <is>
          <t>M1-STAT</t>
        </is>
      </c>
      <c r="B6" t="inlineStr">
        <is>
          <t>Statistiche M1</t>
        </is>
      </c>
      <c r="C6" s="30" t="inlineStr">
        <is>
          <t>MISSION AREA: 1 AND 3 | TIME LIMIT: 60 Hrs | OBJECTIVE: RADAR SITES | M.D.R.: 80%</t>
        </is>
      </c>
      <c r="D6" s="14" t="inlineStr">
        <is>
          <t>AREA MISSIONE: 1 E 3 | LIMITE TEMPO: 60 Ore | OBIETTIVO: SITI RADAR | M.D.R.: 80%</t>
        </is>
      </c>
      <c r="E6" t="inlineStr"/>
    </row>
    <row r="7" ht="60" customHeight="1">
      <c r="A7" s="29" t="inlineStr">
        <is>
          <t>M2-BRIEF</t>
        </is>
      </c>
      <c r="B7" t="inlineStr">
        <is>
          <t>Briefing M2</t>
        </is>
      </c>
      <c r="C7" s="30" t="inlineStr">
        <is>
          <t>THIS MISSION IS OF GRAVE IMPORTANCE. YOU MUST PREVENT CIVILIAN AND MILITARY CASUALTIES CAUSED BY ENEMY MISSILES. NUMEROUS SCUD TARGETS ARE OVERTAKING OUR PATRIOT DEFENSE PERIMETER. TO DO THIS, HUNT DOWN AND DESTROY THEM.</t>
        </is>
      </c>
      <c r="D7" s="14" t="inlineStr">
        <is>
          <t>QUESTA MISSIONE E' DI GRAVE IMPORTANZA. DEVI PREVENIRE VITTIME CIVILI E MILITARI CAUSATE DAI MISSILI NEMICI. NUMEROSI BERSAGLI SCUD STANNO SOPRAFFACENDO IL NOSTRO PERIMETRO DI DIFESA PATRIOT. PER RIUSCIRCI, STANALI E DISTRUGGILI.</t>
        </is>
      </c>
      <c r="E7" t="inlineStr">
        <is>
          <t>Ricostruzione da decompressione (~90% confidenza)</t>
        </is>
      </c>
    </row>
    <row r="8" ht="60" customHeight="1">
      <c r="A8" s="29" t="inlineStr">
        <is>
          <t>M2-INTEL</t>
        </is>
      </c>
      <c r="B8" t="inlineStr">
        <is>
          <t>Intel M2</t>
        </is>
      </c>
      <c r="C8" s="30" t="inlineStr">
        <is>
          <t>SCUD TYPES ARE NOT VISIBLE ON SATELLITE BUT CAN BE LOCATED IN AREAS 4 &amp; 5. YOU MUST DESTROY 80% OF THESE TARGETS.</t>
        </is>
      </c>
      <c r="D8" s="14" t="inlineStr">
        <is>
          <t>I BERSAGLI SCUD NON SONO VISIBILI VIA SATELLITE MA POSSONO ESSERE LOCALIZZATI NELLE AREE 4 E 5. DEVI DISTRUGGERE L'80% DI QUESTI BERSAGLI.</t>
        </is>
      </c>
      <c r="E8" t="inlineStr"/>
    </row>
    <row r="9" ht="60" customHeight="1">
      <c r="A9" s="29" t="inlineStr">
        <is>
          <t>M2-STAT</t>
        </is>
      </c>
      <c r="B9" t="inlineStr">
        <is>
          <t>Statistiche M2</t>
        </is>
      </c>
      <c r="C9" s="30" t="inlineStr">
        <is>
          <t>MISSION AREA: 4 AND 5 | TIME LIMIT: 48 Hrs | OBJECTIVE: SCUD MISSILE LAUNCHERS | M.D.R.: 80% or 40%</t>
        </is>
      </c>
      <c r="D9" s="14" t="inlineStr">
        <is>
          <t>AREA MISSIONE: 4 E 5 | LIMITE TEMPO: 48 Ore | OBIETTIVO: LANCIATORI MISSILI SCUD | M.D.R.: 80% o 40%</t>
        </is>
      </c>
      <c r="E9" t="inlineStr"/>
    </row>
    <row r="10" ht="60" customHeight="1">
      <c r="A10" s="29" t="inlineStr">
        <is>
          <t>M3-BRIEF</t>
        </is>
      </c>
      <c r="B10" t="inlineStr">
        <is>
          <t>Briefing M3</t>
        </is>
      </c>
      <c r="C10" s="30" t="inlineStr">
        <is>
          <t>TO HAMPER ENEMY MOBILITY BY DISRUPTING FUEL PUMPING STATIONS, PIPELINES ARE LOCATED IN AREAS 1 AND 4. AN M.D.R. OF 80% IS REQUIRED TO SUFFICIENTLY HINDER THE MOBILITY OF THE ENEMY.</t>
        </is>
      </c>
      <c r="D10" s="14" t="inlineStr">
        <is>
          <t>PER OSTACOLARE LA MOBILITA' NEMICA INTERROMPENDO LE STAZIONI DI POMPAGGIO CARBURANTE, GLI OLEODOTTI SI TROVANO NELLE AREE 1 E 4. E' RICHIESTO UN M.D.R. DELL'80% PER OSTACOLARE A SUFFICIENZA LA MOBILITA' DEL NEMICO.</t>
        </is>
      </c>
      <c r="E10" t="inlineStr"/>
    </row>
    <row r="11" ht="60" customHeight="1">
      <c r="A11" s="29" t="inlineStr">
        <is>
          <t>M3-INTEL</t>
        </is>
      </c>
      <c r="B11" t="inlineStr">
        <is>
          <t>Intel M3</t>
        </is>
      </c>
      <c r="C11" s="30" t="inlineStr">
        <is>
          <t>THEY ARE HEAVILY GUARDED WITH T-80'S SURROUNDING ANTI-AIRCRAFT. TO ASSIST SQUADRONS THAT FOLLOW, ACHIEVE M.D.R. AND WATCH YOUR TIME.</t>
        </is>
      </c>
      <c r="D11" s="14" t="inlineStr">
        <is>
          <t>SONO PESANTEMENTE PROTETTI DA T-80 E CONTRAEREA. PER AIUTARE GLI SQUADRONI CHE SEGUIRANNO, RAGGIUNGI IL M.D.R. E CONTROLLA IL TEMPO.</t>
        </is>
      </c>
      <c r="E11" t="inlineStr"/>
    </row>
    <row r="12" ht="60" customHeight="1">
      <c r="A12" s="29" t="inlineStr">
        <is>
          <t>M3-STAT</t>
        </is>
      </c>
      <c r="B12" t="inlineStr">
        <is>
          <t>Statistiche M3</t>
        </is>
      </c>
      <c r="C12" s="30" t="inlineStr">
        <is>
          <t>MISSION AREA: 1 AND 4 | TIME LIMIT: 48 Hrs | OBJECTIVE: PIPELINE FACILITIES AND TROOPS | M.D.R.: 80%</t>
        </is>
      </c>
      <c r="D12" s="14" t="inlineStr">
        <is>
          <t>AREA MISSIONE: 1 E 4 | LIMITE TEMPO: 48 Ore | OBIETTIVO: IMPIANTI OLEODOTTO E TRUPPE | M.D.R.: 80%</t>
        </is>
      </c>
      <c r="E12" t="inlineStr"/>
    </row>
    <row r="13" ht="60" customHeight="1">
      <c r="A13" s="29" t="inlineStr">
        <is>
          <t>M4-BRIEF</t>
        </is>
      </c>
      <c r="B13" t="inlineStr">
        <is>
          <t>Briefing M4</t>
        </is>
      </c>
      <c r="C13" s="30" t="inlineStr">
        <is>
          <t>CRYPTOGRAPHICS HAVE REVEALED THAT ZARAK'S ARE PREPARING TO MOUNT AN ASSAULT ON THE BORDER TOWN OF TAFUJI. ALLIED GROUND TROOPS HAVE BEEN SENT TO DEFEND THE BORDER.</t>
        </is>
      </c>
      <c r="D13" s="14" t="inlineStr">
        <is>
          <t>LE INTERCETTAZIONI HANNO RIVELATO CHE ZARAK STA PREPARANDO UN ASSALTO ALLA CITTA' DI CONFINE DI TAFUJI. LE TRUPPE ALLEATE SONO STATE INVIATE A DIFENDERE IL CONFINE.</t>
        </is>
      </c>
      <c r="E13" t="inlineStr"/>
    </row>
    <row r="14" ht="60" customHeight="1">
      <c r="A14" s="29" t="inlineStr">
        <is>
          <t>M4-INTEL</t>
        </is>
      </c>
      <c r="B14" t="inlineStr">
        <is>
          <t>Intel M4</t>
        </is>
      </c>
      <c r="C14" s="30" t="inlineStr">
        <is>
          <t>ARMAMENTS ARE STILL STORED IN HANGARS. CONCENTRATE ON SUPPORT BUILDINGS AND MUNITION BUNKERS. YOU HAVE ONLY 60 HRS TO COMPLETE THIS MISSION.</t>
        </is>
      </c>
      <c r="D14" s="14" t="inlineStr">
        <is>
          <t>GLI ARMAMENTI SONO ANCORA NEGLI HANGAR. CONCENTRATI SUGLI EDIFICI DI SUPPORTO E SUI BUNKER MUNIZIONI. HAI SOLO 60 ORE PER COMPLETARE QUESTA MISSIONE.</t>
        </is>
      </c>
      <c r="E14" t="inlineStr"/>
    </row>
    <row r="15" ht="60" customHeight="1">
      <c r="A15" s="29" t="inlineStr">
        <is>
          <t>M4-STAT</t>
        </is>
      </c>
      <c r="B15" t="inlineStr">
        <is>
          <t>Statistiche M4</t>
        </is>
      </c>
      <c r="C15" s="30" t="inlineStr">
        <is>
          <t>MISSION AREA: 1 AND 4 | TIME LIMIT: 60 Hrs | OBJECTIVE: HANGARS AND BUNKERS | M.D.R.: 80%</t>
        </is>
      </c>
      <c r="D15" s="14" t="inlineStr">
        <is>
          <t>AREA MISSIONE: 1 E 4 | LIMITE TEMPO: 60 Ore | OBIETTIVO: HANGAR E BUNKER | M.D.R.: 80%</t>
        </is>
      </c>
      <c r="E15" t="inlineStr"/>
    </row>
    <row r="16" ht="60" customHeight="1">
      <c r="A16" s="29" t="inlineStr">
        <is>
          <t>M5-BRIEF</t>
        </is>
      </c>
      <c r="B16" t="inlineStr">
        <is>
          <t>Briefing M5</t>
        </is>
      </c>
      <c r="C16" s="30" t="inlineStr">
        <is>
          <t>THE ENEMY FORCES HAVE TAKEN POSSESSION OF OUR PRODUCTION FACILITIES IN GULF HARBOR. WE MUST LIBERATE THE PORT AND RESCUE THE CIVILIANS. ZARAK'S ARE PREPARED TO MOUNT A COUNTER OFFENSIVE.</t>
        </is>
      </c>
      <c r="D16" s="14" t="inlineStr">
        <is>
          <t>LE FORZE NEMICHE HANNO OCCUPATO I NOSTRI IMPIANTI AL PORTO DEL GOLFO. DOBBIAMO LIBERARE IL PORTO E SALVARE I CIVILI. ZARAK E' PRONTO A LANCIARE UNA CONTROFFENSIVA.</t>
        </is>
      </c>
      <c r="E16" t="inlineStr"/>
    </row>
    <row r="17" ht="60" customHeight="1">
      <c r="A17" s="29" t="inlineStr">
        <is>
          <t>M5-INTEL</t>
        </is>
      </c>
      <c r="B17" t="inlineStr">
        <is>
          <t>Intel M5</t>
        </is>
      </c>
      <c r="C17" s="30" t="inlineStr">
        <is>
          <t>YOU MUST DESTROY ENEMY GROUND TROOPS IN GULF HARBOR AND SUPPORTING FACILITIES, TO PREVENT THEM FROM CARRYING OUT THEIR ECOTERRORIST THREATS.</t>
        </is>
      </c>
      <c r="D17" s="14" t="inlineStr">
        <is>
          <t>DEVI DISTRUGGERE LE TRUPPE NEMICHE AL PORTO DEL GOLFO E GLI IMPIANTI DI SUPPORTO, PER IMPEDIRE CHE METTANO IN ATTO LE LORO MINACCE ECOTERRORISTICHE.</t>
        </is>
      </c>
      <c r="E17" t="inlineStr"/>
    </row>
    <row r="18" ht="60" customHeight="1">
      <c r="A18" s="29" t="inlineStr">
        <is>
          <t>M5-STAT</t>
        </is>
      </c>
      <c r="B18" t="inlineStr">
        <is>
          <t>Statistiche M5</t>
        </is>
      </c>
      <c r="C18" s="30" t="inlineStr">
        <is>
          <t>MISSION AREA: 7 AND 8 | TIME LIMIT: 60 Hrs | OBJECTIVE: AIRCRAFT FACILITIES | M.D.R.: 80%</t>
        </is>
      </c>
      <c r="D18" s="14" t="inlineStr">
        <is>
          <t>AREA MISSIONE: 7 E 8 | LIMITE TEMPO: 60 Ore | OBIETTIVO: IMPIANTI AEREI | M.D.R.: 80%</t>
        </is>
      </c>
      <c r="E18" t="inlineStr"/>
    </row>
    <row r="19" ht="60" customHeight="1">
      <c r="A19" s="29" t="inlineStr">
        <is>
          <t>M6-BRIEF</t>
        </is>
      </c>
      <c r="B19" t="inlineStr">
        <is>
          <t>Briefing M6</t>
        </is>
      </c>
      <c r="C19" s="30" t="inlineStr">
        <is>
          <t>INTELLIGENCE HAS REVEALED ZARAK'S PLAN TO USE N.B.C. WEAPONS ON CIVILIANS AND COALITION FORCES. YOU MUST DESTROY THE FACTORIES BEFORE DISTRIBUTION OF THESE WEAPONS COMMENCES.</t>
        </is>
      </c>
      <c r="D19" s="14" t="inlineStr">
        <is>
          <t>L'INTELLIGENCE HA RIVELATO IL PIANO DI ZARAK DI USARE ARMI NBC SUI CIVILI E SULLE FORZE DELLA COALIZIONE. DEVI DISTRUGGERE LE FABBRICHE PRIMA CHE INIZI LA DISTRIBUZIONE.</t>
        </is>
      </c>
      <c r="E19" t="inlineStr"/>
    </row>
    <row r="20" ht="60" customHeight="1">
      <c r="A20" s="29" t="inlineStr">
        <is>
          <t>M6-INTEL</t>
        </is>
      </c>
      <c r="B20" t="inlineStr">
        <is>
          <t>Intel M6</t>
        </is>
      </c>
      <c r="C20" s="30" t="inlineStr">
        <is>
          <t>YOU MUST DESTROY THE FACILITIES AND LEAVE NOTHING FOR THEM TO REBUILD. IF YOU ARE NOT SUCCESSFUL, THERE WILL BE A LARGE NUMBER OF CASUALTIES.</t>
        </is>
      </c>
      <c r="D20" s="14" t="inlineStr">
        <is>
          <t>DEVI DISTRUGGERE GLI IMPIANTI E NON LASCIARE NULLA DA RICOSTRUIRE. SE NON AVRAI SUCCESSO, CI SARA' UN GRAN NUMERO DI VITTIME.</t>
        </is>
      </c>
      <c r="E20" t="inlineStr"/>
    </row>
    <row r="21" ht="60" customHeight="1">
      <c r="A21" s="29" t="inlineStr">
        <is>
          <t>M6-STAT</t>
        </is>
      </c>
      <c r="B21" t="inlineStr">
        <is>
          <t>Statistiche M6</t>
        </is>
      </c>
      <c r="C21" s="30" t="inlineStr">
        <is>
          <t>MISSION AREA: 5 AND 6 | TIME LIMIT: 60 Hrs | OBJECTIVE: GROUND FORCES AND FACTORIES | M.D.R.: 80%</t>
        </is>
      </c>
      <c r="D21" s="14" t="inlineStr">
        <is>
          <t>AREA MISSIONE: 5 E 6 | LIMITE TEMPO: 60 Ore | OBIETTIVO: TRUPPE DI TERRA E FABBRICHE | M.D.R.: 80%</t>
        </is>
      </c>
      <c r="E21" t="inlineStr"/>
    </row>
    <row r="22" ht="60" customHeight="1">
      <c r="A22" s="29" t="inlineStr">
        <is>
          <t>M7-BRIEF</t>
        </is>
      </c>
      <c r="B22" t="inlineStr">
        <is>
          <t>Briefing M7</t>
        </is>
      </c>
      <c r="C22" s="30" t="inlineStr">
        <is>
          <t>OUR P.D.F. SCOUTS HAVE REACHED THE CITY LIMITS. WE REPORT A LARGE MILITARY PRESENCE WITHIN THE CAPITAL, A PRESENCE WE BELIEVE TO BE THE ELITE RED GUARD.</t>
        </is>
      </c>
      <c r="D22" s="14" t="inlineStr">
        <is>
          <t>I NOSTRI RICOGNITORI P.D.F. HANNO RAGGIUNTO I LIMITI DELLA CITTA'. SEGNALIAMO UNA FORTE PRESENZA MILITARE NELLA CAPITALE CHE RITENIAMO ESSERE LA GUARDIA ROSSA D'ELITE.</t>
        </is>
      </c>
      <c r="E22" t="inlineStr"/>
    </row>
    <row r="23" ht="60" customHeight="1">
      <c r="A23" s="29" t="inlineStr">
        <is>
          <t>M7-INTEL</t>
        </is>
      </c>
      <c r="B23" t="inlineStr">
        <is>
          <t>Intel M7</t>
        </is>
      </c>
      <c r="C23" s="30" t="inlineStr">
        <is>
          <t>MILITARY TROOPS ARE FOUNDED IN WITH CIVILIAN BUILDINGS. YOU MUST BE CAREFUL TO ONLY ATTACK MILITARY TARGETS. DO NOT HIT CIVILIAN FACILITIES!</t>
        </is>
      </c>
      <c r="D23" s="14" t="inlineStr">
        <is>
          <t>LE TRUPPE MILITARI SONO FRAMMISCHIATE AGLI EDIFICI CIVILI. DEVI STARE ATTENTO A COLPIRE SOLO BERSAGLI MILITARI. NON COLPIRE GLI IMPIANTI CIVILI!</t>
        </is>
      </c>
      <c r="E23" t="inlineStr"/>
    </row>
    <row r="24" ht="60" customHeight="1">
      <c r="A24" s="29" t="inlineStr">
        <is>
          <t>M7-STAT</t>
        </is>
      </c>
      <c r="B24" t="inlineStr">
        <is>
          <t>Statistiche M7</t>
        </is>
      </c>
      <c r="C24" s="30" t="inlineStr">
        <is>
          <t>MISSION AREA: 3 | TIME LIMIT: 36 Hrs | OBJECTIVE: TACTICAL FACTORIES AND TROOPS | M.D.R.: 100%</t>
        </is>
      </c>
      <c r="D24" s="14" t="inlineStr">
        <is>
          <t>AREA MISSIONE: 3 | LIMITE TEMPO: 36 Ore | OBIETTIVO: FABBRICHE TATTICHE E TRUPPE | M.D.R.: 100%</t>
        </is>
      </c>
      <c r="E24" t="inlineStr"/>
    </row>
    <row r="25" ht="60" customHeight="1">
      <c r="A25" s="29" t="inlineStr">
        <is>
          <t>M8-BRIEF</t>
        </is>
      </c>
      <c r="B25" t="inlineStr">
        <is>
          <t>Briefing M8</t>
        </is>
      </c>
      <c r="C25" s="30" t="inlineStr">
        <is>
          <t>THE ENEMY FORCES HAVE RETREATED TO THEIR HEAVILY FORTIFIED HEADQUARTERS. SATELLITE INFO REVEALS THAT THEY ARE PROTECTED BY N.B.C. WEAPONS AND HAVE NUCLEAR STRIKE CAPABILITY.</t>
        </is>
      </c>
      <c r="D25" s="14" t="inlineStr">
        <is>
          <t>LE FORZE NEMICHE SI SONO RITIRATE NEL LORO QUARTIER GENERALE PESANTEMENTE FORTIFICATO. LE INFO SATELLITARI RIVELANO CHE SONO PROTETTI DA ARMI NBC E HANNO CAPACITA' DI ATTACCO NUCLEARE.</t>
        </is>
      </c>
      <c r="E25" t="inlineStr"/>
    </row>
    <row r="26" ht="60" customHeight="1">
      <c r="A26" s="29" t="inlineStr">
        <is>
          <t>M8-INTEL</t>
        </is>
      </c>
      <c r="B26" t="inlineStr">
        <is>
          <t>Intel M8</t>
        </is>
      </c>
      <c r="C26" s="30" t="inlineStr">
        <is>
          <t>YOU MUST HIT HARD AND FAST BEFORE THEY STRIKE AT CIVILIAN AND MILITARY TARGETS. YOU HAVE ONLY 24 HOURS, SO BE SWIFT AND PRECISE. YOU MUST DESTROY THE HQs AND WEAPONS.</t>
        </is>
      </c>
      <c r="D26" s="14" t="inlineStr">
        <is>
          <t>DEVI COLPIRE DURO E VELOCE PRIMA CHE COLPISCANO BERSAGLI CIVILI E MILITARI. HAI SOLO 24 ORE, QUINDI SII RAPIDO E PRECISO. DEVI DISTRUGGERE IL QG E LE ARMI.</t>
        </is>
      </c>
      <c r="E26" t="inlineStr"/>
    </row>
    <row r="27" ht="60" customHeight="1">
      <c r="A27" s="29" t="inlineStr">
        <is>
          <t>M8-STAT</t>
        </is>
      </c>
      <c r="B27" t="inlineStr">
        <is>
          <t>Statistiche M8</t>
        </is>
      </c>
      <c r="C27" s="30" t="inlineStr">
        <is>
          <t>MISSION AREA: CAPITAL OF ZARAK (AREA 2) | TIME LIMIT: 24 HR | OBJECTIVE: ZARAK HQs AND WEAPONS | M.D.R.: 100%</t>
        </is>
      </c>
      <c r="D27" s="14" t="inlineStr">
        <is>
          <t>AREA MISSIONE: CAPITALE DI ZARAK (AREA 2) | LIMITE TEMPO: 24 Ore | OBIETTIVO: QG ZARAK E ARMI | M.D.R.: 100%</t>
        </is>
      </c>
      <c r="E27" t="inlineStr"/>
    </row>
    <row r="28" ht="60" customHeight="1">
      <c r="A28" s="29" t="inlineStr">
        <is>
          <t>BONUS-1</t>
        </is>
      </c>
      <c r="B28" t="inlineStr">
        <is>
          <t>Messaggio generico</t>
        </is>
      </c>
      <c r="C28" s="30" t="inlineStr">
        <is>
          <t>GOOD HUNTING!!</t>
        </is>
      </c>
      <c r="D28" s="14" t="inlineStr">
        <is>
          <t>BUONA CACCIA!!</t>
        </is>
      </c>
      <c r="E28" t="inlineStr">
        <is>
          <t>Messaggio di partenza missione</t>
        </is>
      </c>
    </row>
    <row r="29" ht="60" customHeight="1">
      <c r="A29" s="29" t="inlineStr">
        <is>
          <t>BONUS-2</t>
        </is>
      </c>
      <c r="B29" t="inlineStr">
        <is>
          <t>Retry (tentativo multiplo)</t>
        </is>
      </c>
      <c r="C29" s="30" t="inlineStr">
        <is>
          <t>ALTHOUGH YOU HAVE ATTEMPTED YOUR MISSION SEVERAL TIMES, YOU HAVE STILL NOT REACHED THE TARGET RATE OF DESTRUCTION. IF YOU DO NOT COMPLETE THE MISSION SOON, OUR TROOPS WILL SUFFER MANY CASUALTIES.</t>
        </is>
      </c>
      <c r="D29" s="14" t="inlineStr">
        <is>
          <t>ANCHE SE HAI TENTATO LA MISSIONE PIU' VOLTE, NON HAI ANCORA RAGGIUNTO IL TASSO DI DISTRUZIONE RICHIESTO. SE NON COMPLETI LA MISSIONE PRESTO, LE NOSTRE TRUPPE SUBIRANNO MOLTE PERDITE.</t>
        </is>
      </c>
      <c r="E29" t="inlineStr"/>
    </row>
    <row r="30" ht="60" customHeight="1">
      <c r="A30" s="29" t="inlineStr">
        <is>
          <t>BONUS-3</t>
        </is>
      </c>
      <c r="B30" t="inlineStr">
        <is>
          <t>Retry (ultimo avviso)</t>
        </is>
      </c>
      <c r="C30" s="30" t="inlineStr">
        <is>
          <t>IF YOU DO NOT MEET THE M.D.R. THIS ATTEMPT, WE WILL BE VULNERABLE TO ATTACK AND WILL RECEIVE AN ORDER TO RETREAT.</t>
        </is>
      </c>
      <c r="D30" s="14" t="inlineStr">
        <is>
          <t>SE NON RAGGIUNGI IL M.D.R. IN QUESTO TENTATIVO, SAREMO VULNERABILI AGLI ATTACCHI E RICEVEREMO L'ORDINE DI RITIRARCI.</t>
        </is>
      </c>
      <c r="E30" t="inlineStr"/>
    </row>
    <row r="31" ht="60" customHeight="1">
      <c r="A31" s="29" t="inlineStr">
        <is>
          <t>BONUS-4</t>
        </is>
      </c>
      <c r="B31" t="inlineStr">
        <is>
          <t>Incoraggiamento</t>
        </is>
      </c>
      <c r="C31" s="30" t="inlineStr">
        <is>
          <t>GOOD HUNTING, A.S.P.!!!!</t>
        </is>
      </c>
      <c r="D31" s="14" t="inlineStr">
        <is>
          <t>BUONA CACCIA, A.S.P.!!!!</t>
        </is>
      </c>
      <c r="E31" t="inlineStr"/>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100" customWidth="1" min="3" max="3"/>
  </cols>
  <sheetData>
    <row r="1">
      <c r="A1" s="27" t="inlineStr">
        <is>
          <t>PROBLEMI APERTI E PASSI SUCCESSIVI</t>
        </is>
      </c>
    </row>
    <row r="3">
      <c r="A3" s="31" t="inlineStr">
        <is>
          <t>Priorità</t>
        </is>
      </c>
      <c r="B3" s="31" t="inlineStr">
        <is>
          <t>Problema</t>
        </is>
      </c>
      <c r="C3" s="31" t="inlineStr">
        <is>
          <t>Descrizione e azione suggerita</t>
        </is>
      </c>
    </row>
    <row r="4" ht="80" customHeight="1">
      <c r="A4" s="32" t="inlineStr">
        <is>
          <t>CRITICO</t>
        </is>
      </c>
      <c r="B4" s="33" t="inlineStr">
        <is>
          <t>Crash dopo menu opzioni (patch v2)</t>
        </is>
      </c>
      <c r="C4" s="30" t="inlineStr">
        <is>
          <t>La patch v2 causa un blocco schermo nero dopo la selezione delle opzioni. Il riempimento con spazi letterali (0xFF+0x20) nella zona post-traduzione potrebbe interferire con puntatori interni o dati di configurazione livello letti subito dopo il testo. SOLUZIONE SUGGERITA: Analizzare con debugger cosa il gioco legge immediatamente dopo la fine del testo tradotto (0x02AEC3). Se legge dati non-testo (configurazione, indici), quei dati NON vanno sovrascritti. Potrebbe servire trovare un puntatore che il gioco usa per sapere 'dove finisce il testo' e aggiornarlo.</t>
        </is>
      </c>
    </row>
    <row r="5" ht="80" customHeight="1">
      <c r="A5" s="34" t="inlineStr">
        <is>
          <t>ALTA</t>
        </is>
      </c>
      <c r="B5" s="33" t="inlineStr">
        <is>
          <t>Algoritmo compressione — offset formula non al 100%</t>
        </is>
      </c>
      <c r="C5" s="30" t="inlineStr">
        <is>
          <t>La formula lunghezza=(b2&gt;&gt;4)+3 e' confermata al 100%. La formula distanza=0x1000-magnitude produce risultati corretti per riferimenti che puntano dentro lo stesso messaggio (autoriferenziali), ma può divergere per riferimenti che puntano a messaggi precedenti nella stessa zona (la logica del buffer condiviso e' corretta ma l'implementazione del compressore potrebbe generare riferimenti invalidi che il gioco interpreta diversamente). SUGGERIMENTO: Confrontare byte per byte la nostra uscita compressa con un pezzo dell'originale noto (es. i primi 64 byte della zona) per verificare che il nostro compressore produca sequenze valide al 100%.</t>
        </is>
      </c>
    </row>
    <row r="6" ht="80" customHeight="1">
      <c r="A6" s="35" t="inlineStr">
        <is>
          <t>MEDIA</t>
        </is>
      </c>
      <c r="B6" s="33" t="inlineStr">
        <is>
          <t>Zona 87KB (0x0CFA00-0x0E9800) non identificata</t>
        </is>
      </c>
      <c r="C6" s="30" t="inlineStr">
        <is>
          <t>87KB di TEXT_MIXED non ancora decodificata. Non risponde alla nostra decompressione LZ. Potrebbe contenere: (a) dialoghi extra non presenti nella zona principale, (b) dati di configurazione level con byte ASCII intercalati, (c) un altro formato di compressione. AZIONE: Impostare breakpoint di lettura su 0x0CFA00-0x0E9800 nel debugger e vedere se/quando il gioco accede a questa zona durante il gameplay.</t>
        </is>
      </c>
    </row>
    <row r="7" ht="80" customHeight="1">
      <c r="A7" s="35" t="inlineStr">
        <is>
          <t>MEDIA</t>
        </is>
      </c>
      <c r="B7" s="33" t="inlineStr">
        <is>
          <t>Grafica testuale in 2bpp/4bpp</t>
        </is>
      </c>
      <c r="C7" s="30" t="inlineStr">
        <is>
          <t>Scritte come SETA PRESENTS, WARNING, FULL, EMPTY, SPEED UP, AFTER BURNER, FLARE, GUN, GAME START sono disegnate come sprite/tile grafici (non testo codificato). Per tradurle serve ridisegnare i tile con YY-CHR o Tile Layer Pro. AZIONE: Identificare gli offset ROM esatti di questi tile (con il Tile Viewer di Mesen, già usato — Address campo mostra 0xC000 in VRAM, da mappare all'offset ROM corrispondente tramite la tabella CHR).</t>
        </is>
      </c>
    </row>
    <row r="8" ht="80" customHeight="1">
      <c r="A8" s="36" t="inlineStr">
        <is>
          <t>BASSA</t>
        </is>
      </c>
      <c r="B8" s="33" t="inlineStr">
        <is>
          <t>Missione 9 (se esiste) non tradotta</t>
        </is>
      </c>
      <c r="C8" s="30" t="inlineStr">
        <is>
          <t>Il gioco ha 9 record AREA nel blocco pulito (AREA 1-9), ma abbiamo tradotto solo 8 missioni nella zona compressa. Verificare se esiste una missione 9 separata o se area 9 corrisponde alla Missione 8 (QG Zarak). In quel caso siamo completi.</t>
        </is>
      </c>
    </row>
    <row r="9" ht="80" customHeight="1">
      <c r="A9" s="36" t="inlineStr">
        <is>
          <t>BASSA</t>
        </is>
      </c>
      <c r="B9" s="33" t="inlineStr">
        <is>
          <t>Menu debug (0x011EBD) non tradotto</t>
        </is>
      </c>
      <c r="C9" s="30" t="inlineStr">
        <is>
          <t>Menu di sviluppatori probabilmente non raggiungibile in game normale. Bassa priorita'. Se si volesse tradurre: le stringhe sono ASCII puro terminate 0x00, facilmente modificabili con un hex editor standard.</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2026-08-30T12:20:33Z</dcterms:created>
  <dcterms:modified xmlns:dcterms="http://purl.org/dc/terms/" xmlns:xsi="http://www.w3.org/2001/XMLSchema-instance" xsi:type="dcterms:W3CDTF">2026-08-30T12:20:33Z</dcterms:modified>
</cp:coreProperties>
</file>